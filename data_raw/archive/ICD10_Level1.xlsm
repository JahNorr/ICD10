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135" windowWidth="23955" windowHeight="978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F12" i="1"/>
  <c r="C2"/>
  <c r="D2" s="1"/>
  <c r="E2" s="1"/>
  <c r="C3"/>
  <c r="D3" s="1"/>
  <c r="E3" s="1"/>
  <c r="C4"/>
  <c r="D4" s="1"/>
  <c r="E4" s="1"/>
  <c r="C5"/>
  <c r="H5" s="1"/>
  <c r="C6"/>
  <c r="D6" s="1"/>
  <c r="E6" s="1"/>
  <c r="C7"/>
  <c r="H7" s="1"/>
  <c r="C8"/>
  <c r="H8" s="1"/>
  <c r="C9"/>
  <c r="C10"/>
  <c r="C11"/>
  <c r="D11" s="1"/>
  <c r="E11" s="1"/>
  <c r="C12"/>
  <c r="D12" s="1"/>
  <c r="E12" s="1"/>
  <c r="C13"/>
  <c r="H13" s="1"/>
  <c r="C14"/>
  <c r="D14" s="1"/>
  <c r="E14" s="1"/>
  <c r="C15"/>
  <c r="D15" s="1"/>
  <c r="E15" s="1"/>
  <c r="C16"/>
  <c r="H16" s="1"/>
  <c r="C17"/>
  <c r="H17" s="1"/>
  <c r="C18"/>
  <c r="H18" s="1"/>
  <c r="C19"/>
  <c r="D19" s="1"/>
  <c r="E19" s="1"/>
  <c r="C20"/>
  <c r="D20" s="1"/>
  <c r="E20" s="1"/>
  <c r="C21"/>
  <c r="D21" s="1"/>
  <c r="E21" s="1"/>
  <c r="C22"/>
  <c r="H22" s="1"/>
  <c r="G2" l="1"/>
  <c r="F19"/>
  <c r="G19"/>
  <c r="G11"/>
  <c r="G3"/>
  <c r="F20"/>
  <c r="G20"/>
  <c r="G12"/>
  <c r="G4"/>
  <c r="G6"/>
  <c r="H21"/>
  <c r="F3"/>
  <c r="G15"/>
  <c r="F21"/>
  <c r="G14"/>
  <c r="F4"/>
  <c r="G21"/>
  <c r="F11"/>
  <c r="H9"/>
  <c r="H10"/>
  <c r="F2"/>
  <c r="F14"/>
  <c r="F6"/>
  <c r="H2"/>
  <c r="F15"/>
  <c r="H14"/>
  <c r="H3"/>
  <c r="D7"/>
  <c r="H15"/>
  <c r="D22"/>
  <c r="H6"/>
  <c r="H19"/>
  <c r="H11"/>
  <c r="D16"/>
  <c r="H20"/>
  <c r="H12"/>
  <c r="H4"/>
  <c r="D8"/>
  <c r="D18"/>
  <c r="D10"/>
  <c r="D13"/>
  <c r="D5"/>
  <c r="D17"/>
  <c r="D9"/>
  <c r="E10" l="1"/>
  <c r="G10" s="1"/>
  <c r="F10"/>
  <c r="E17"/>
  <c r="G17" s="1"/>
  <c r="E7"/>
  <c r="G7" s="1"/>
  <c r="E16"/>
  <c r="G16" s="1"/>
  <c r="F17"/>
  <c r="E18"/>
  <c r="G18" s="1"/>
  <c r="E9"/>
  <c r="G9" s="1"/>
  <c r="E8"/>
  <c r="G8" s="1"/>
  <c r="E22"/>
  <c r="G22"/>
  <c r="E5"/>
  <c r="G5" s="1"/>
  <c r="F5"/>
  <c r="F7"/>
  <c r="F22"/>
  <c r="F9"/>
  <c r="E13"/>
  <c r="G13" s="1"/>
  <c r="F13"/>
  <c r="F16"/>
  <c r="F18"/>
  <c r="F8"/>
</calcChain>
</file>

<file path=xl/connections.xml><?xml version="1.0" encoding="utf-8"?>
<connections xmlns="http://schemas.openxmlformats.org/spreadsheetml/2006/main">
  <connection id="1" name="ICD10CM_FY2014_Full_XML_Tabular" type="4" refreshedVersion="0" background="1">
    <webPr xml="1" sourceData="1" url="C:\Users\john\R_workspace\ICD10\ICD10CM_FY2014_Full_XML_Tabular.xml" htmlTables="1" htmlFormat="all"/>
  </connection>
</connections>
</file>

<file path=xl/sharedStrings.xml><?xml version="1.0" encoding="utf-8"?>
<sst xmlns="http://schemas.openxmlformats.org/spreadsheetml/2006/main" count="29" uniqueCount="29">
  <si>
    <t>name</t>
  </si>
  <si>
    <t>desc</t>
  </si>
  <si>
    <t>Certain infectious and parasitic diseases (A00-B99)</t>
  </si>
  <si>
    <t>Neoplasms (C00-D49)</t>
  </si>
  <si>
    <t>Diseases of the blood and blood-forming organs and certain disorders involving the immune mechanism (D50-D89)</t>
  </si>
  <si>
    <t>Endocrine, nutritional and metabolic diseases (E00-E89)</t>
  </si>
  <si>
    <t>Mental, Behavioral and Neurodevelopmental disorders (F01-F99)</t>
  </si>
  <si>
    <t>Diseases of the nervous system (G00-G99)</t>
  </si>
  <si>
    <t>Diseases of the eye and adnexa (H00-H59)</t>
  </si>
  <si>
    <t>Diseases of the ear and mastoid process (H60-H95)</t>
  </si>
  <si>
    <t>Diseases of the circulatory system (I00-I99)</t>
  </si>
  <si>
    <t>Diseases of the respiratory system (J00-J99)</t>
  </si>
  <si>
    <t>Diseases of the digestive system (K00-K95)</t>
  </si>
  <si>
    <t>Diseases of the skin and subcutaneous tissue (L00-L99)</t>
  </si>
  <si>
    <t>Diseases of the musculoskeletal system and connective tissue (M00-M99)</t>
  </si>
  <si>
    <t>Diseases of the genitourinary system (N00-N99)</t>
  </si>
  <si>
    <t>Pregnancy, childbirth and the puerperium (O00-O9A)</t>
  </si>
  <si>
    <t>Certain conditions originating in the perinatal period (P00-P96)</t>
  </si>
  <si>
    <t>Congenital malformations, deformations and chromosomal abnormalities (Q00-Q99)</t>
  </si>
  <si>
    <t>Symptoms, signs and abnormal clinical and laboratory findings, not elsewhere classified  (R00-R99)</t>
  </si>
  <si>
    <t>Injury, poisoning and certain other consequences of external causes (S00-T88)</t>
  </si>
  <si>
    <t>External causes of morbidity (V00-Y99)</t>
  </si>
  <si>
    <t>Factors influencing health status and contact with health services (Z00-Z99)</t>
  </si>
  <si>
    <t>Column1</t>
  </si>
  <si>
    <t>Column2</t>
  </si>
  <si>
    <t>Column3</t>
  </si>
  <si>
    <t>Column4</t>
  </si>
  <si>
    <t>Column32</t>
  </si>
  <si>
    <t>Column33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</si>
</sst>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ICD10CM.tabular">
        <xsd:complexType>
          <xsd:sequence minOccurs="0">
            <xsd:element minOccurs="0" nillable="true" type="xsd:integer" name="version" form="unqualified"/>
            <xsd:element minOccurs="0" nillable="true" name="introduction" form="unqualified">
              <xsd:complexType>
                <xsd:sequence minOccurs="0">
                  <xsd:element minOccurs="0" maxOccurs="unbounded" nillable="true" name="introSection" form="unqualified">
                    <xsd:complexType>
                      <xsd:sequence minOccurs="0">
                        <xsd:element minOccurs="0" nillable="true" type="xsd:string" name="title" form="unqualified"/>
                        <xsd:element minOccurs="0" nillable="true" name="instruction" form="unqualified">
                          <xsd:complexType>
                            <xsd:sequence minOccurs="0">
                              <xsd:element minOccurs="0" maxOccurs="unbounded" nillable="true" type="xsd:string" name="note" form="unqualified"/>
                            </xsd:sequence>
                          </xsd:complexType>
                        </xsd:element>
                      </xsd:sequence>
                      <xsd:attribute name="type" form="unqualified" type="xsd:string"/>
                    </xsd:complexType>
                  </xsd:element>
                </xsd:sequence>
              </xsd:complexType>
            </xsd:element>
            <xsd:element minOccurs="0" maxOccurs="unbounded" nillable="true" name="chapter" form="unqualified">
              <xsd:complexType>
                <xsd:sequence minOccurs="0" maxOccurs="unbounded">
                  <xsd:element minOccurs="0" nillable="true" type="xsd:integer" name="name" form="unqualified"/>
                  <xsd:element minOccurs="0" nillable="true" type="xsd:string" name="desc" form="unqualified"/>
                  <xsd:element minOccurs="0" nillable="true" name="includes" form="unqualified">
                    <xsd:complexType>
                      <xsd:sequence minOccurs="0">
                        <xsd:element minOccurs="0" nillable="true" type="xsd:string" name="note" form="unqualified"/>
                      </xsd:sequence>
                    </xsd:complexType>
                  </xsd:element>
                  <xsd:element minOccurs="0" nillable="true" name="useAdditionalCode" form="unqualified">
                    <xsd:complexType>
                      <xsd:sequence minOccurs="0">
                        <xsd:element minOccurs="0" maxOccurs="unbounded" nillable="true" type="xsd:string" name="note" form="unqualified"/>
                      </xsd:sequence>
                    </xsd:complexType>
                  </xsd:element>
                  <xsd:element minOccurs="0" nillable="true" name="excludes1" form="unqualified">
                    <xsd:complexType>
                      <xsd:sequence minOccurs="0">
                        <xsd:element minOccurs="0" maxOccurs="unbounded" nillable="true" type="xsd:string" name="note" form="unqualified"/>
                      </xsd:sequence>
                    </xsd:complexType>
                  </xsd:element>
                  <xsd:element minOccurs="0" nillable="true" name="excludes2" form="unqualified">
                    <xsd:complexType>
                      <xsd:sequence minOccurs="0">
                        <xsd:element minOccurs="0" maxOccurs="unbounded" nillable="true" type="xsd:string" name="note" form="unqualified"/>
                      </xsd:sequence>
                    </xsd:complexType>
                  </xsd:element>
                  <xsd:element minOccurs="0" nillable="true" name="sectionIndex" form="unqualified">
                    <xsd:complexType>
                      <xsd:sequence minOccurs="0">
                        <xsd:element minOccurs="0" maxOccurs="unbounded" nillable="true" name="sectionRef" form="unqualified">
                          <xsd:complexType>
                            <xsd:simpleContent>
                              <xsd:extension base="xsd:string">
                                <xsd:attribute name="first" form="unqualified" type="xsd:string"/>
                                <xsd:attribute name="last" form="unqualified" type="xsd:string"/>
                                <xsd:attribute name="id" form="unqualified" type="xsd:string"/>
                              </xsd:extension>
                            </xsd:simpleContent>
                          </xsd:complexType>
                        </xsd:element>
                      </xsd:sequence>
                    </xsd:complexType>
                  </xsd:element>
                  <xsd:element minOccurs="0" maxOccurs="unbounded" nillable="true" name="section" form="unqualified">
                    <xsd:complexType>
                      <xsd:sequence minOccurs="0" maxOccurs="unbounded">
                        <xsd:element minOccurs="0" nillable="true" type="xsd:string" name="desc" form="unqualified"/>
                        <xsd:element minOccurs="0" maxOccurs="unbounded" nillable="true" name="diag" form="unqualified">
                          <xsd:complexType>
                            <xsd:sequence minOccurs="0" maxOccurs="unbounded">
                              <xsd:element minOccurs="0" nillable="true" type="xsd:string" name="name" form="unqualified"/>
                              <xsd:element minOccurs="0" nillable="true" type="xsd:string" name="desc" form="unqualified"/>
                              <xsd:element minOccurs="0" maxOccurs="unbounded" nillable="true" name="diag" form="unqualified">
                                <xsd:complexType>
                                  <xsd:sequence minOccurs="0" maxOccurs="unbounded">
                                    <xsd:element minOccurs="0" nillable="true" type="xsd:string" name="name" form="unqualified"/>
                                    <xsd:element minOccurs="0" nillable="true" type="xsd:string" name="desc" form="unqualified"/>
                                    <xsd:element minOccurs="0" nillable="true" name="inclusionTerm" form="unqualified">
                                      <xsd:complexType>
                                        <xsd:sequence minOccurs="0">
                                          <xsd:element minOccurs="0" maxOccurs="unbounded" nillable="true" type="xsd:string" name="note" form="unqualified"/>
                                        </xsd:sequence>
                                      </xsd:complexType>
                                    </xsd:element>
                                    <xsd:element minOccurs="0" maxOccurs="unbounded" nillable="true" name="diag" form="unqualified">
                                      <xsd:complexType>
                                        <xsd:sequence minOccurs="0" maxOccurs="unbounded">
                                          <xsd:element minOccurs="0" nillable="true" type="xsd:string" name="name" form="unqualified"/>
                                          <xsd:element minOccurs="0" nillable="true" type="xsd:string" name="desc" form="unqualified"/>
                                          <xsd:element minOccurs="0" nillable="true" name="inclusionTerm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note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excludes1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note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useAdditionalCode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note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excludes2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note" form="unqualified"/>
                                              </xsd:sequence>
                                            </xsd:complexType>
                                          </xsd:element>
                                          <xsd:element minOccurs="0" maxOccurs="unbounded" nillable="true" name="diag" form="unqualified">
                                            <xsd:complexType>
                                              <xsd:all>
                                                <xsd:element minOccurs="0" nillable="true" type="xsd:string" name="name" form="unqualified"/>
                                                <xsd:element minOccurs="0" nillable="true" type="xsd:string" name="desc" form="unqualified"/>
                                                <xsd:element minOccurs="0" nillable="true" name="excludes1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ote" form="un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inclusionTerm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ote" form="un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excludes2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ote" form="un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useAdditionalCode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ote" form="un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codeFir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ote" form="un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codeAlso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ote" form="unqualified"/>
                                                    </xsd:sequence>
                                                  </xsd:complexType>
                                                </xsd:element>
                                              </xsd:all>
                                            </xsd:complexType>
                                          </xsd:element>
                                          <xsd:element minOccurs="0" nillable="true" name="codeFirst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note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codeAlso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note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sevenChrNote" form="unqualified">
                                            <xsd:complexType>
                                              <xsd:sequence minOccurs="0">
                                                <xsd:element minOccurs="0" nillable="true" type="xsd:string" name="note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sevenChrDef" form="unqualified">
                                            <xsd:complexType>
                                              <xsd:sequence minOccurs="0">
                                                <xsd:element minOccurs="0" maxOccurs="unbounded" nillable="true" name="extension" form="un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char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includes" form="unqualified">
                                            <xsd:complexType>
                                              <xsd:sequence minOccurs="0">
                                                <xsd:element minOccurs="0" nillable="true" type="xsd:string" name="not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placeholder" form="unqualified" type="xsd:boolean"/>
                                      </xsd:complexType>
                                    </xsd:element>
                                    <xsd:element minOccurs="0" nillable="true" name="excludes1" form="unqualified">
                                      <xsd:complexType>
                                        <xsd:sequence minOccurs="0">
                                          <xsd:element minOccurs="0" maxOccurs="unbounded" nillable="true" type="xsd:string" name="note" form="unqualified"/>
                                        </xsd:sequence>
                                      </xsd:complexType>
                                    </xsd:element>
                                    <xsd:element minOccurs="0" nillable="true" name="excludes2" form="unqualified">
                                      <xsd:complexType>
                                        <xsd:sequence minOccurs="0">
                                          <xsd:element minOccurs="0" maxOccurs="unbounded" nillable="true" type="xsd:string" name="note" form="unqualified"/>
                                        </xsd:sequence>
                                      </xsd:complexType>
                                    </xsd:element>
                                    <xsd:element minOccurs="0" nillable="true" name="useAdditionalCode" form="unqualified">
                                      <xsd:complexType>
                                        <xsd:sequence minOccurs="0">
                                          <xsd:element minOccurs="0" maxOccurs="unbounded" nillable="true" type="xsd:string" name="note" form="unqualified"/>
                                        </xsd:sequence>
                                      </xsd:complexType>
                                    </xsd:element>
                                    <xsd:element minOccurs="0" nillable="true" name="codeFirst" form="unqualified">
                                      <xsd:complexType>
                                        <xsd:sequence minOccurs="0">
                                          <xsd:element minOccurs="0" maxOccurs="unbounded" nillable="true" type="xsd:string" name="note" form="unqualified"/>
                                        </xsd:sequence>
                                      </xsd:complexType>
                                    </xsd:element>
                                    <xsd:element minOccurs="0" nillable="true" name="notes" form="unqualified">
                                      <xsd:complexType>
                                        <xsd:sequence minOccurs="0">
                                          <xsd:element minOccurs="0" maxOccurs="unbounded" nillable="true" type="xsd:string" name="note" form="unqualified"/>
                                        </xsd:sequence>
                                      </xsd:complexType>
                                    </xsd:element>
                                    <xsd:element minOccurs="0" nillable="true" name="codeAlso" form="unqualified">
                                      <xsd:complexType>
                                        <xsd:sequence minOccurs="0">
                                          <xsd:element minOccurs="0" maxOccurs="unbounded" nillable="true" type="xsd:string" name="note" form="unqualified"/>
                                        </xsd:sequence>
                                      </xsd:complexType>
                                    </xsd:element>
                                    <xsd:element minOccurs="0" nillable="true" name="sevenChrNote" form="unqualified">
                                      <xsd:complexType>
                                        <xsd:sequence minOccurs="0">
                                          <xsd:element minOccurs="0" nillable="true" type="xsd:string" name="note" form="unqualified"/>
                                        </xsd:sequence>
                                      </xsd:complexType>
                                    </xsd:element>
                                    <xsd:element minOccurs="0" nillable="true" name="sevenChrDef" form="unqualified">
                                      <xsd:complexType>
                                        <xsd:sequence minOccurs="0">
                                          <xsd:element minOccurs="0" maxOccurs="unbounded" nillable="true" name="extension" form="unqualified">
                                            <xsd:complexType>
                                              <xsd:simpleContent>
                                                <xsd:extension base="xsd:string">
                                                  <xsd:attribute name="char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visualImpairment" form="unqualified">
                                      <xsd:complexType>
                                        <xsd:sequence minOccurs="0">
                                          <xsd:element minOccurs="0" maxOccurs="unbounded" nillable="true" name="visCategory" form="unqualified">
                                            <xsd:complexType>
                                              <xsd:sequence minOccurs="0" maxOccurs="unbounded">
                                                <xsd:element minOccurs="0" nillable="true" type="xsd:string" name="heading" form="unqualified"/>
                                                <xsd:element minOccurs="0" maxOccurs="unbounded" nillable="true" name="visRange" form="unqualified">
                                                  <xsd:complexType>
                                                    <xsd:all>
                                                      <xsd:element minOccurs="0" nillable="true" type="xsd:string" name="heading" form="unqualified"/>
                                                      <xsd:element minOccurs="0" nillable="true" name="visMax" form="unqualified">
                                                        <xsd:complexType>
                                                          <xsd:all>
                                                            <xsd:element minOccurs="0" nillable="true" type="xsd:string" name="heading" form="unqualified"/>
                                                            <xsd:element minOccurs="0" nillable="true" type="xsd:string" name="value" form="unqualified"/>
                                                          </xsd:all>
                                                        </xsd:complexType>
                                                      </xsd:element>
                                                      <xsd:element minOccurs="0" nillable="true" name="visMin" form="unqualified">
                                                        <xsd:complexType>
                                                          <xsd:all>
                                                            <xsd:element minOccurs="0" nillable="true" type="xsd:string" name="heading" form="unqualified"/>
                                                            <xsd:element minOccurs="0" nillable="true" type="xsd:string" name="value" form="unqualified"/>
                                                          </xsd:all>
                                                        </xsd:complexType>
                                                      </xsd:element>
                                                    </xsd:all>
                                                  </xsd:complexType>
                                                </xsd:element>
                                                <xsd:element minOccurs="0" nillable="true" type="xsd:integer" name="valu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  <xsd:attribute name="placeholder" form="unqualified" type="xsd:boolean"/>
                                </xsd:complexType>
                              </xsd:element>
                              <xsd:element minOccurs="0" nillable="true" name="includes" form="unqualified">
                                <xsd:complexType>
                                  <xsd:sequence minOccurs="0">
                                    <xsd:element minOccurs="0" maxOccurs="unbounded" nillable="true" type="xsd:string" name="note" form="unqualified"/>
                                  </xsd:sequence>
                                </xsd:complexType>
                              </xsd:element>
                              <xsd:element minOccurs="0" nillable="true" name="excludes1" form="unqualified">
                                <xsd:complexType>
                                  <xsd:sequence minOccurs="0">
                                    <xsd:element minOccurs="0" maxOccurs="unbounded" nillable="true" type="xsd:string" name="note" form="unqualified"/>
                                  </xsd:sequence>
                                </xsd:complexType>
                              </xsd:element>
                              <xsd:element minOccurs="0" nillable="true" name="excludes2" form="unqualified">
                                <xsd:complexType>
                                  <xsd:sequence minOccurs="0">
                                    <xsd:element minOccurs="0" maxOccurs="unbounded" nillable="true" type="xsd:string" name="note" form="unqualified"/>
                                  </xsd:sequence>
                                </xsd:complexType>
                              </xsd:element>
                              <xsd:element minOccurs="0" nillable="true" name="inclusionTerm" form="unqualified">
                                <xsd:complexType>
                                  <xsd:sequence minOccurs="0">
                                    <xsd:element minOccurs="0" maxOccurs="unbounded" nillable="true" type="xsd:string" name="note" form="unqualified"/>
                                  </xsd:sequence>
                                </xsd:complexType>
                              </xsd:element>
                              <xsd:element minOccurs="0" nillable="true" name="codeFirst" form="unqualified">
                                <xsd:complexType>
                                  <xsd:sequence minOccurs="0">
                                    <xsd:element minOccurs="0" maxOccurs="unbounded" nillable="true" type="xsd:string" name="note" form="unqualified"/>
                                  </xsd:sequence>
                                </xsd:complexType>
                              </xsd:element>
                              <xsd:element minOccurs="0" nillable="true" name="useAdditionalCode" form="unqualified">
                                <xsd:complexType>
                                  <xsd:sequence minOccurs="0">
                                    <xsd:element minOccurs="0" maxOccurs="unbounded" nillable="true" type="xsd:string" name="note" form="unqualified"/>
                                  </xsd:sequence>
                                </xsd:complexType>
                              </xsd:element>
                              <xsd:element minOccurs="0" nillable="true" name="notes" form="unqualified">
                                <xsd:complexType>
                                  <xsd:sequence minOccurs="0">
                                    <xsd:element minOccurs="0" maxOccurs="unbounded" nillable="true" type="xsd:string" name="note" form="unqualified"/>
                                  </xsd:sequence>
                                </xsd:complexType>
                              </xsd:element>
                              <xsd:element minOccurs="0" nillable="true" name="codeAlso" form="unqualified">
                                <xsd:complexType>
                                  <xsd:sequence minOccurs="0">
                                    <xsd:element minOccurs="0" maxOccurs="unbounded" nillable="true" type="xsd:string" name="note" form="unqualified"/>
                                  </xsd:sequence>
                                </xsd:complexType>
                              </xsd:element>
                              <xsd:element minOccurs="0" nillable="true" name="sevenChrNote" form="unqualified">
                                <xsd:complexType>
                                  <xsd:sequence minOccurs="0">
                                    <xsd:element minOccurs="0" nillable="true" type="xsd:string" name="note" form="unqualified"/>
                                  </xsd:sequence>
                                </xsd:complexType>
                              </xsd:element>
                              <xsd:element minOccurs="0" nillable="true" name="sevenChrDef" form="unqualified">
                                <xsd:complexType>
                                  <xsd:sequence minOccurs="0" maxOccurs="unbounded">
                                    <xsd:element minOccurs="0" maxOccurs="unbounded" nillable="true" name="extension" form="unqualified">
                                      <xsd:complexType>
                                        <xsd:simpleContent>
                                          <xsd:extension base="xsd:string">
                                            <xsd:attribute name="char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type="xsd:string" name="note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includes" form="unqualified">
                          <xsd:complexType>
                            <xsd:sequence minOccurs="0">
                              <xsd:element minOccurs="0" maxOccurs="unbounded" nillable="true" type="xsd:string" name="note" form="unqualified"/>
                            </xsd:sequence>
                          </xsd:complexType>
                        </xsd:element>
                        <xsd:element minOccurs="0" nillable="true" name="excludes1" form="unqualified">
                          <xsd:complexType>
                            <xsd:sequence minOccurs="0">
                              <xsd:element minOccurs="0" maxOccurs="unbounded" nillable="true" type="xsd:string" name="note" form="unqualified"/>
                            </xsd:sequence>
                          </xsd:complexType>
                        </xsd:element>
                        <xsd:element minOccurs="0" nillable="true" name="excludes2" form="unqualified">
                          <xsd:complexType>
                            <xsd:sequence minOccurs="0">
                              <xsd:element minOccurs="0" maxOccurs="unbounded" nillable="true" type="xsd:string" name="note" form="unqualified"/>
                            </xsd:sequence>
                          </xsd:complexType>
                        </xsd:element>
                        <xsd:element minOccurs="0" maxOccurs="unbounded" nillable="true" name="notes" form="unqualified">
                          <xsd:complexType>
                            <xsd:sequence minOccurs="0">
                              <xsd:element minOccurs="0" maxOccurs="unbounded" nillable="true" type="xsd:string" name="note" form="unqualified"/>
                            </xsd:sequence>
                          </xsd:complexType>
                        </xsd:element>
                        <xsd:element minOccurs="0" nillable="true" name="codeFirst" form="unqualified">
                          <xsd:complexType>
                            <xsd:sequence minOccurs="0">
                              <xsd:element minOccurs="0" maxOccurs="unbounded" nillable="true" type="xsd:string" name="note" form="unqualified"/>
                            </xsd:sequence>
                          </xsd:complexType>
                        </xsd:element>
                        <xsd:element minOccurs="0" nillable="true" name="useAdditionalCode" form="unqualified">
                          <xsd:complexType>
                            <xsd:sequence minOccurs="0">
                              <xsd:element minOccurs="0" maxOccurs="unbounded" nillable="true" type="xsd:string" name="note" form="unqualified"/>
                            </xsd:sequence>
                          </xsd:complexType>
                        </xsd:element>
                        <xsd:element minOccurs="0" nillable="true" name="codeAlso" form="unqualified">
                          <xsd:complexType>
                            <xsd:sequence minOccurs="0">
                              <xsd:element minOccurs="0" nillable="true" type="xsd:string" name="note" form="unqualified"/>
                            </xsd:sequence>
                          </xsd:complexType>
                        </xsd:element>
                        <xsd:element minOccurs="0" nillable="true" name="inclusionTerm" form="unqualified">
                          <xsd:complexType>
                            <xsd:sequence minOccurs="0">
                              <xsd:element minOccurs="0" maxOccurs="unbounded" nillable="true" type="xsd:string" name="note" form="unqualified"/>
                            </xsd:sequence>
                          </xsd:complexType>
                        </xsd:element>
                      </xsd:sequence>
                      <xsd:attribute name="id" form="unqualified" type="xsd:string"/>
                    </xsd:complexType>
                  </xsd:element>
                  <xsd:element minOccurs="0" maxOccurs="unbounded" nillable="true" name="notes" form="unqualified">
                    <xsd:complexType>
                      <xsd:sequence minOccurs="0">
                        <xsd:element minOccurs="0" maxOccurs="unbounded" nillable="true" type="xsd:string" name="note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ICD10CM.tabular_Map" RootElement="ICD10CM.tabula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tables/table1.xml><?xml version="1.0" encoding="utf-8"?>
<table xmlns="http://schemas.openxmlformats.org/spreadsheetml/2006/main" id="1" name="Table1" displayName="Table1" ref="A1:H22" tableType="xml" totalsRowShown="0" connectionId="1">
  <autoFilter ref="A1:H22">
    <filterColumn colId="2"/>
    <filterColumn colId="3"/>
    <filterColumn colId="4"/>
    <filterColumn colId="5"/>
    <filterColumn colId="6"/>
    <filterColumn colId="7"/>
  </autoFilter>
  <sortState ref="A2:CB86960">
    <sortCondition ref="A1:A86960"/>
  </sortState>
  <tableColumns count="8">
    <tableColumn id="5" uniqueName="name" name="name">
      <xmlColumnPr mapId="1" xpath="/ICD10CM.tabular/chapter/name" xmlDataType="integer"/>
    </tableColumn>
    <tableColumn id="6" uniqueName="desc" name="desc">
      <xmlColumnPr mapId="1" xpath="/ICD10CM.tabular/chapter/desc" xmlDataType="string"/>
    </tableColumn>
    <tableColumn id="1" uniqueName="1" name="Column1" dataDxfId="5">
      <calculatedColumnFormula>FIND("(",Table1[[#This Row],[desc]],1)</calculatedColumnFormula>
    </tableColumn>
    <tableColumn id="2" uniqueName="2" name="Column2" dataDxfId="4">
      <calculatedColumnFormula>FIND("-",Table1[[#This Row],[desc]],Table1[[#This Row],[Column1]])</calculatedColumnFormula>
    </tableColumn>
    <tableColumn id="3" uniqueName="3" name="Column3" dataDxfId="3">
      <calculatedColumnFormula>FIND(")",Table1[[#This Row],[desc]],Table1[[#This Row],[Column2]])</calculatedColumnFormula>
    </tableColumn>
    <tableColumn id="7" uniqueName="7" name="Column32" dataDxfId="1">
      <calculatedColumnFormula>MID(Table1[[#This Row],[desc]],Table1[[#This Row],[Column1]]+1,Table1[[#This Row],[Column2]]-Table1[[#This Row],[Column1]]-1)</calculatedColumnFormula>
    </tableColumn>
    <tableColumn id="8" uniqueName="8" name="Column33" dataDxfId="0">
      <calculatedColumnFormula>MID(Table1[[#This Row],[desc]],Table1[[#This Row],[Column2]]+1,Table1[[#This Row],[Column3]]-Table1[[#This Row],[Column2]]-1)</calculatedColumnFormula>
    </tableColumn>
    <tableColumn id="4" uniqueName="4" name="Column4" dataDxfId="2">
      <calculatedColumnFormula>TRIM(LEFT(Table1[[#This Row],[desc]],Table1[[#This Row],[Column1]]-1))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22"/>
  <sheetViews>
    <sheetView tabSelected="1" topLeftCell="C1" workbookViewId="0">
      <selection activeCell="H7" sqref="H7"/>
    </sheetView>
  </sheetViews>
  <sheetFormatPr defaultRowHeight="15"/>
  <cols>
    <col min="1" max="1" width="8.28515625" bestFit="1" customWidth="1"/>
    <col min="2" max="2" width="81.140625" bestFit="1" customWidth="1"/>
    <col min="3" max="3" width="15.140625" customWidth="1"/>
    <col min="8" max="8" width="95.5703125" bestFit="1" customWidth="1"/>
  </cols>
  <sheetData>
    <row r="1" spans="1:8">
      <c r="A1" t="s">
        <v>0</v>
      </c>
      <c r="B1" t="s">
        <v>1</v>
      </c>
      <c r="C1" t="s">
        <v>23</v>
      </c>
      <c r="D1" t="s">
        <v>24</v>
      </c>
      <c r="E1" t="s">
        <v>25</v>
      </c>
      <c r="F1" t="s">
        <v>27</v>
      </c>
      <c r="G1" t="s">
        <v>28</v>
      </c>
      <c r="H1" t="s">
        <v>26</v>
      </c>
    </row>
    <row r="2" spans="1:8">
      <c r="A2">
        <v>1</v>
      </c>
      <c r="B2" s="1" t="s">
        <v>2</v>
      </c>
      <c r="C2" s="2">
        <f>FIND("(",Table1[[#This Row],[desc]],1)</f>
        <v>43</v>
      </c>
      <c r="D2" s="2">
        <f>FIND("-",Table1[[#This Row],[desc]],Table1[[#This Row],[Column1]])</f>
        <v>47</v>
      </c>
      <c r="E2" s="2">
        <f>FIND(")",Table1[[#This Row],[desc]],Table1[[#This Row],[Column2]])</f>
        <v>51</v>
      </c>
      <c r="F2" s="2" t="str">
        <f>MID(Table1[[#This Row],[desc]],Table1[[#This Row],[Column1]]+1,Table1[[#This Row],[Column2]]-Table1[[#This Row],[Column1]]-1)</f>
        <v>A00</v>
      </c>
      <c r="G2" s="2" t="str">
        <f>MID(Table1[[#This Row],[desc]],Table1[[#This Row],[Column2]]+1,Table1[[#This Row],[Column3]]-Table1[[#This Row],[Column2]]-1)</f>
        <v>B99</v>
      </c>
      <c r="H2" s="2" t="str">
        <f>TRIM(LEFT(Table1[[#This Row],[desc]],Table1[[#This Row],[Column1]]-1))</f>
        <v>Certain infectious and parasitic diseases</v>
      </c>
    </row>
    <row r="3" spans="1:8">
      <c r="A3">
        <v>2</v>
      </c>
      <c r="B3" s="1" t="s">
        <v>3</v>
      </c>
      <c r="C3" s="2">
        <f>FIND("(",Table1[[#This Row],[desc]],1)</f>
        <v>11</v>
      </c>
      <c r="D3" s="2">
        <f>FIND("-",Table1[[#This Row],[desc]],Table1[[#This Row],[Column1]])</f>
        <v>15</v>
      </c>
      <c r="E3" s="2">
        <f>FIND(")",Table1[[#This Row],[desc]],Table1[[#This Row],[Column2]])</f>
        <v>19</v>
      </c>
      <c r="F3" s="2" t="str">
        <f>MID(Table1[[#This Row],[desc]],Table1[[#This Row],[Column1]]+1,Table1[[#This Row],[Column2]]-Table1[[#This Row],[Column1]]-1)</f>
        <v>C00</v>
      </c>
      <c r="G3" s="2" t="str">
        <f>MID(Table1[[#This Row],[desc]],Table1[[#This Row],[Column2]]+1,Table1[[#This Row],[Column3]]-Table1[[#This Row],[Column2]]-1)</f>
        <v>D49</v>
      </c>
      <c r="H3" s="2" t="str">
        <f>TRIM(LEFT(Table1[[#This Row],[desc]],Table1[[#This Row],[Column1]]-1))</f>
        <v>Neoplasms</v>
      </c>
    </row>
    <row r="4" spans="1:8">
      <c r="A4">
        <v>3</v>
      </c>
      <c r="B4" s="1" t="s">
        <v>4</v>
      </c>
      <c r="C4" s="2">
        <f>FIND("(",Table1[[#This Row],[desc]],1)</f>
        <v>101</v>
      </c>
      <c r="D4" s="2">
        <f>FIND("-",Table1[[#This Row],[desc]],Table1[[#This Row],[Column1]])</f>
        <v>105</v>
      </c>
      <c r="E4" s="2">
        <f>FIND(")",Table1[[#This Row],[desc]],Table1[[#This Row],[Column2]])</f>
        <v>109</v>
      </c>
      <c r="F4" s="2" t="str">
        <f>MID(Table1[[#This Row],[desc]],Table1[[#This Row],[Column1]]+1,Table1[[#This Row],[Column2]]-Table1[[#This Row],[Column1]]-1)</f>
        <v>D50</v>
      </c>
      <c r="G4" s="2" t="str">
        <f>MID(Table1[[#This Row],[desc]],Table1[[#This Row],[Column2]]+1,Table1[[#This Row],[Column3]]-Table1[[#This Row],[Column2]]-1)</f>
        <v>D89</v>
      </c>
      <c r="H4" s="2" t="str">
        <f>TRIM(LEFT(Table1[[#This Row],[desc]],Table1[[#This Row],[Column1]]-1))</f>
        <v>Diseases of the blood and blood-forming organs and certain disorders involving the immune mechanism</v>
      </c>
    </row>
    <row r="5" spans="1:8">
      <c r="A5">
        <v>4</v>
      </c>
      <c r="B5" s="1" t="s">
        <v>5</v>
      </c>
      <c r="C5" s="2">
        <f>FIND("(",Table1[[#This Row],[desc]],1)</f>
        <v>47</v>
      </c>
      <c r="D5" s="2">
        <f>FIND("-",Table1[[#This Row],[desc]],Table1[[#This Row],[Column1]])</f>
        <v>51</v>
      </c>
      <c r="E5" s="2">
        <f>FIND(")",Table1[[#This Row],[desc]],Table1[[#This Row],[Column2]])</f>
        <v>55</v>
      </c>
      <c r="F5" s="2" t="str">
        <f>MID(Table1[[#This Row],[desc]],Table1[[#This Row],[Column1]]+1,Table1[[#This Row],[Column2]]-Table1[[#This Row],[Column1]]-1)</f>
        <v>E00</v>
      </c>
      <c r="G5" s="2" t="str">
        <f>MID(Table1[[#This Row],[desc]],Table1[[#This Row],[Column2]]+1,Table1[[#This Row],[Column3]]-Table1[[#This Row],[Column2]]-1)</f>
        <v>E89</v>
      </c>
      <c r="H5" s="2" t="str">
        <f>TRIM(LEFT(Table1[[#This Row],[desc]],Table1[[#This Row],[Column1]]-1))</f>
        <v>Endocrine, nutritional and metabolic diseases</v>
      </c>
    </row>
    <row r="6" spans="1:8">
      <c r="A6">
        <v>5</v>
      </c>
      <c r="B6" s="1" t="s">
        <v>6</v>
      </c>
      <c r="C6" s="2">
        <f>FIND("(",Table1[[#This Row],[desc]],1)</f>
        <v>53</v>
      </c>
      <c r="D6" s="2">
        <f>FIND("-",Table1[[#This Row],[desc]],Table1[[#This Row],[Column1]])</f>
        <v>57</v>
      </c>
      <c r="E6" s="2">
        <f>FIND(")",Table1[[#This Row],[desc]],Table1[[#This Row],[Column2]])</f>
        <v>61</v>
      </c>
      <c r="F6" s="2" t="str">
        <f>MID(Table1[[#This Row],[desc]],Table1[[#This Row],[Column1]]+1,Table1[[#This Row],[Column2]]-Table1[[#This Row],[Column1]]-1)</f>
        <v>F01</v>
      </c>
      <c r="G6" s="2" t="str">
        <f>MID(Table1[[#This Row],[desc]],Table1[[#This Row],[Column2]]+1,Table1[[#This Row],[Column3]]-Table1[[#This Row],[Column2]]-1)</f>
        <v>F99</v>
      </c>
      <c r="H6" s="2" t="str">
        <f>TRIM(LEFT(Table1[[#This Row],[desc]],Table1[[#This Row],[Column1]]-1))</f>
        <v>Mental, Behavioral and Neurodevelopmental disorders</v>
      </c>
    </row>
    <row r="7" spans="1:8">
      <c r="A7">
        <v>6</v>
      </c>
      <c r="B7" s="1" t="s">
        <v>7</v>
      </c>
      <c r="C7" s="2">
        <f>FIND("(",Table1[[#This Row],[desc]],1)</f>
        <v>32</v>
      </c>
      <c r="D7" s="2">
        <f>FIND("-",Table1[[#This Row],[desc]],Table1[[#This Row],[Column1]])</f>
        <v>36</v>
      </c>
      <c r="E7" s="2">
        <f>FIND(")",Table1[[#This Row],[desc]],Table1[[#This Row],[Column2]])</f>
        <v>40</v>
      </c>
      <c r="F7" s="2" t="str">
        <f>MID(Table1[[#This Row],[desc]],Table1[[#This Row],[Column1]]+1,Table1[[#This Row],[Column2]]-Table1[[#This Row],[Column1]]-1)</f>
        <v>G00</v>
      </c>
      <c r="G7" s="2" t="str">
        <f>MID(Table1[[#This Row],[desc]],Table1[[#This Row],[Column2]]+1,Table1[[#This Row],[Column3]]-Table1[[#This Row],[Column2]]-1)</f>
        <v>G99</v>
      </c>
      <c r="H7" s="2" t="str">
        <f>TRIM(LEFT(Table1[[#This Row],[desc]],Table1[[#This Row],[Column1]]-1))</f>
        <v>Diseases of the nervous system</v>
      </c>
    </row>
    <row r="8" spans="1:8">
      <c r="A8">
        <v>7</v>
      </c>
      <c r="B8" s="1" t="s">
        <v>8</v>
      </c>
      <c r="C8" s="2">
        <f>FIND("(",Table1[[#This Row],[desc]],1)</f>
        <v>32</v>
      </c>
      <c r="D8" s="2">
        <f>FIND("-",Table1[[#This Row],[desc]],Table1[[#This Row],[Column1]])</f>
        <v>36</v>
      </c>
      <c r="E8" s="2">
        <f>FIND(")",Table1[[#This Row],[desc]],Table1[[#This Row],[Column2]])</f>
        <v>40</v>
      </c>
      <c r="F8" s="2" t="str">
        <f>MID(Table1[[#This Row],[desc]],Table1[[#This Row],[Column1]]+1,Table1[[#This Row],[Column2]]-Table1[[#This Row],[Column1]]-1)</f>
        <v>H00</v>
      </c>
      <c r="G8" s="2" t="str">
        <f>MID(Table1[[#This Row],[desc]],Table1[[#This Row],[Column2]]+1,Table1[[#This Row],[Column3]]-Table1[[#This Row],[Column2]]-1)</f>
        <v>H59</v>
      </c>
      <c r="H8" s="2" t="str">
        <f>TRIM(LEFT(Table1[[#This Row],[desc]],Table1[[#This Row],[Column1]]-1))</f>
        <v>Diseases of the eye and adnexa</v>
      </c>
    </row>
    <row r="9" spans="1:8">
      <c r="A9">
        <v>8</v>
      </c>
      <c r="B9" s="1" t="s">
        <v>9</v>
      </c>
      <c r="C9" s="2">
        <f>FIND("(",Table1[[#This Row],[desc]],1)</f>
        <v>41</v>
      </c>
      <c r="D9" s="2">
        <f>FIND("-",Table1[[#This Row],[desc]],Table1[[#This Row],[Column1]])</f>
        <v>45</v>
      </c>
      <c r="E9" s="2">
        <f>FIND(")",Table1[[#This Row],[desc]],Table1[[#This Row],[Column2]])</f>
        <v>49</v>
      </c>
      <c r="F9" s="2" t="str">
        <f>MID(Table1[[#This Row],[desc]],Table1[[#This Row],[Column1]]+1,Table1[[#This Row],[Column2]]-Table1[[#This Row],[Column1]]-1)</f>
        <v>H60</v>
      </c>
      <c r="G9" s="2" t="str">
        <f>MID(Table1[[#This Row],[desc]],Table1[[#This Row],[Column2]]+1,Table1[[#This Row],[Column3]]-Table1[[#This Row],[Column2]]-1)</f>
        <v>H95</v>
      </c>
      <c r="H9" s="2" t="str">
        <f>TRIM(LEFT(Table1[[#This Row],[desc]],Table1[[#This Row],[Column1]]-1))</f>
        <v>Diseases of the ear and mastoid process</v>
      </c>
    </row>
    <row r="10" spans="1:8">
      <c r="A10">
        <v>9</v>
      </c>
      <c r="B10" s="1" t="s">
        <v>10</v>
      </c>
      <c r="C10" s="2">
        <f>FIND("(",Table1[[#This Row],[desc]],1)</f>
        <v>36</v>
      </c>
      <c r="D10" s="2">
        <f>FIND("-",Table1[[#This Row],[desc]],Table1[[#This Row],[Column1]])</f>
        <v>40</v>
      </c>
      <c r="E10" s="2">
        <f>FIND(")",Table1[[#This Row],[desc]],Table1[[#This Row],[Column2]])</f>
        <v>44</v>
      </c>
      <c r="F10" s="2" t="str">
        <f>MID(Table1[[#This Row],[desc]],Table1[[#This Row],[Column1]]+1,Table1[[#This Row],[Column2]]-Table1[[#This Row],[Column1]]-1)</f>
        <v>I00</v>
      </c>
      <c r="G10" s="2" t="str">
        <f>MID(Table1[[#This Row],[desc]],Table1[[#This Row],[Column2]]+1,Table1[[#This Row],[Column3]]-Table1[[#This Row],[Column2]]-1)</f>
        <v>I99</v>
      </c>
      <c r="H10" s="2" t="str">
        <f>TRIM(LEFT(Table1[[#This Row],[desc]],Table1[[#This Row],[Column1]]-1))</f>
        <v>Diseases of the circulatory system</v>
      </c>
    </row>
    <row r="11" spans="1:8">
      <c r="A11">
        <v>10</v>
      </c>
      <c r="B11" s="1" t="s">
        <v>11</v>
      </c>
      <c r="C11" s="2">
        <f>FIND("(",Table1[[#This Row],[desc]],1)</f>
        <v>36</v>
      </c>
      <c r="D11" s="2">
        <f>FIND("-",Table1[[#This Row],[desc]],Table1[[#This Row],[Column1]])</f>
        <v>40</v>
      </c>
      <c r="E11" s="2">
        <f>FIND(")",Table1[[#This Row],[desc]],Table1[[#This Row],[Column2]])</f>
        <v>44</v>
      </c>
      <c r="F11" s="2" t="str">
        <f>MID(Table1[[#This Row],[desc]],Table1[[#This Row],[Column1]]+1,Table1[[#This Row],[Column2]]-Table1[[#This Row],[Column1]]-1)</f>
        <v>J00</v>
      </c>
      <c r="G11" s="2" t="str">
        <f>MID(Table1[[#This Row],[desc]],Table1[[#This Row],[Column2]]+1,Table1[[#This Row],[Column3]]-Table1[[#This Row],[Column2]]-1)</f>
        <v>J99</v>
      </c>
      <c r="H11" s="2" t="str">
        <f>TRIM(LEFT(Table1[[#This Row],[desc]],Table1[[#This Row],[Column1]]-1))</f>
        <v>Diseases of the respiratory system</v>
      </c>
    </row>
    <row r="12" spans="1:8">
      <c r="A12">
        <v>11</v>
      </c>
      <c r="B12" s="1" t="s">
        <v>12</v>
      </c>
      <c r="C12" s="2">
        <f>FIND("(",Table1[[#This Row],[desc]],1)</f>
        <v>34</v>
      </c>
      <c r="D12" s="2">
        <f>FIND("-",Table1[[#This Row],[desc]],Table1[[#This Row],[Column1]])</f>
        <v>38</v>
      </c>
      <c r="E12" s="2">
        <f>FIND(")",Table1[[#This Row],[desc]],Table1[[#This Row],[Column2]])</f>
        <v>42</v>
      </c>
      <c r="F12" s="2" t="str">
        <f>MID(Table1[[#This Row],[desc]],Table1[[#This Row],[Column1]]+1,Table1[[#This Row],[Column2]]-Table1[[#This Row],[Column1]]-1)</f>
        <v>K00</v>
      </c>
      <c r="G12" s="2" t="str">
        <f>MID(Table1[[#This Row],[desc]],Table1[[#This Row],[Column2]]+1,Table1[[#This Row],[Column3]]-Table1[[#This Row],[Column2]]-1)</f>
        <v>K95</v>
      </c>
      <c r="H12" s="2" t="str">
        <f>TRIM(LEFT(Table1[[#This Row],[desc]],Table1[[#This Row],[Column1]]-1))</f>
        <v>Diseases of the digestive system</v>
      </c>
    </row>
    <row r="13" spans="1:8">
      <c r="A13">
        <v>12</v>
      </c>
      <c r="B13" s="1" t="s">
        <v>13</v>
      </c>
      <c r="C13" s="2">
        <f>FIND("(",Table1[[#This Row],[desc]],1)</f>
        <v>46</v>
      </c>
      <c r="D13" s="2">
        <f>FIND("-",Table1[[#This Row],[desc]],Table1[[#This Row],[Column1]])</f>
        <v>50</v>
      </c>
      <c r="E13" s="2">
        <f>FIND(")",Table1[[#This Row],[desc]],Table1[[#This Row],[Column2]])</f>
        <v>54</v>
      </c>
      <c r="F13" s="2" t="str">
        <f>MID(Table1[[#This Row],[desc]],Table1[[#This Row],[Column1]]+1,Table1[[#This Row],[Column2]]-Table1[[#This Row],[Column1]]-1)</f>
        <v>L00</v>
      </c>
      <c r="G13" s="2" t="str">
        <f>MID(Table1[[#This Row],[desc]],Table1[[#This Row],[Column2]]+1,Table1[[#This Row],[Column3]]-Table1[[#This Row],[Column2]]-1)</f>
        <v>L99</v>
      </c>
      <c r="H13" s="2" t="str">
        <f>TRIM(LEFT(Table1[[#This Row],[desc]],Table1[[#This Row],[Column1]]-1))</f>
        <v>Diseases of the skin and subcutaneous tissue</v>
      </c>
    </row>
    <row r="14" spans="1:8">
      <c r="A14">
        <v>13</v>
      </c>
      <c r="B14" s="1" t="s">
        <v>14</v>
      </c>
      <c r="C14" s="2">
        <f>FIND("(",Table1[[#This Row],[desc]],1)</f>
        <v>62</v>
      </c>
      <c r="D14" s="2">
        <f>FIND("-",Table1[[#This Row],[desc]],Table1[[#This Row],[Column1]])</f>
        <v>66</v>
      </c>
      <c r="E14" s="2">
        <f>FIND(")",Table1[[#This Row],[desc]],Table1[[#This Row],[Column2]])</f>
        <v>70</v>
      </c>
      <c r="F14" s="2" t="str">
        <f>MID(Table1[[#This Row],[desc]],Table1[[#This Row],[Column1]]+1,Table1[[#This Row],[Column2]]-Table1[[#This Row],[Column1]]-1)</f>
        <v>M00</v>
      </c>
      <c r="G14" s="2" t="str">
        <f>MID(Table1[[#This Row],[desc]],Table1[[#This Row],[Column2]]+1,Table1[[#This Row],[Column3]]-Table1[[#This Row],[Column2]]-1)</f>
        <v>M99</v>
      </c>
      <c r="H14" s="2" t="str">
        <f>TRIM(LEFT(Table1[[#This Row],[desc]],Table1[[#This Row],[Column1]]-1))</f>
        <v>Diseases of the musculoskeletal system and connective tissue</v>
      </c>
    </row>
    <row r="15" spans="1:8">
      <c r="A15">
        <v>14</v>
      </c>
      <c r="B15" s="1" t="s">
        <v>15</v>
      </c>
      <c r="C15" s="2">
        <f>FIND("(",Table1[[#This Row],[desc]],1)</f>
        <v>38</v>
      </c>
      <c r="D15" s="2">
        <f>FIND("-",Table1[[#This Row],[desc]],Table1[[#This Row],[Column1]])</f>
        <v>42</v>
      </c>
      <c r="E15" s="2">
        <f>FIND(")",Table1[[#This Row],[desc]],Table1[[#This Row],[Column2]])</f>
        <v>46</v>
      </c>
      <c r="F15" s="2" t="str">
        <f>MID(Table1[[#This Row],[desc]],Table1[[#This Row],[Column1]]+1,Table1[[#This Row],[Column2]]-Table1[[#This Row],[Column1]]-1)</f>
        <v>N00</v>
      </c>
      <c r="G15" s="2" t="str">
        <f>MID(Table1[[#This Row],[desc]],Table1[[#This Row],[Column2]]+1,Table1[[#This Row],[Column3]]-Table1[[#This Row],[Column2]]-1)</f>
        <v>N99</v>
      </c>
      <c r="H15" s="2" t="str">
        <f>TRIM(LEFT(Table1[[#This Row],[desc]],Table1[[#This Row],[Column1]]-1))</f>
        <v>Diseases of the genitourinary system</v>
      </c>
    </row>
    <row r="16" spans="1:8">
      <c r="A16">
        <v>15</v>
      </c>
      <c r="B16" s="1" t="s">
        <v>16</v>
      </c>
      <c r="C16" s="2">
        <f>FIND("(",Table1[[#This Row],[desc]],1)</f>
        <v>42</v>
      </c>
      <c r="D16" s="2">
        <f>FIND("-",Table1[[#This Row],[desc]],Table1[[#This Row],[Column1]])</f>
        <v>46</v>
      </c>
      <c r="E16" s="2">
        <f>FIND(")",Table1[[#This Row],[desc]],Table1[[#This Row],[Column2]])</f>
        <v>50</v>
      </c>
      <c r="F16" s="2" t="str">
        <f>MID(Table1[[#This Row],[desc]],Table1[[#This Row],[Column1]]+1,Table1[[#This Row],[Column2]]-Table1[[#This Row],[Column1]]-1)</f>
        <v>O00</v>
      </c>
      <c r="G16" s="2" t="str">
        <f>MID(Table1[[#This Row],[desc]],Table1[[#This Row],[Column2]]+1,Table1[[#This Row],[Column3]]-Table1[[#This Row],[Column2]]-1)</f>
        <v>O9A</v>
      </c>
      <c r="H16" s="2" t="str">
        <f>TRIM(LEFT(Table1[[#This Row],[desc]],Table1[[#This Row],[Column1]]-1))</f>
        <v>Pregnancy, childbirth and the puerperium</v>
      </c>
    </row>
    <row r="17" spans="1:8">
      <c r="A17">
        <v>16</v>
      </c>
      <c r="B17" s="1" t="s">
        <v>17</v>
      </c>
      <c r="C17" s="2">
        <f>FIND("(",Table1[[#This Row],[desc]],1)</f>
        <v>56</v>
      </c>
      <c r="D17" s="2">
        <f>FIND("-",Table1[[#This Row],[desc]],Table1[[#This Row],[Column1]])</f>
        <v>60</v>
      </c>
      <c r="E17" s="2">
        <f>FIND(")",Table1[[#This Row],[desc]],Table1[[#This Row],[Column2]])</f>
        <v>64</v>
      </c>
      <c r="F17" s="2" t="str">
        <f>MID(Table1[[#This Row],[desc]],Table1[[#This Row],[Column1]]+1,Table1[[#This Row],[Column2]]-Table1[[#This Row],[Column1]]-1)</f>
        <v>P00</v>
      </c>
      <c r="G17" s="2" t="str">
        <f>MID(Table1[[#This Row],[desc]],Table1[[#This Row],[Column2]]+1,Table1[[#This Row],[Column3]]-Table1[[#This Row],[Column2]]-1)</f>
        <v>P96</v>
      </c>
      <c r="H17" s="2" t="str">
        <f>TRIM(LEFT(Table1[[#This Row],[desc]],Table1[[#This Row],[Column1]]-1))</f>
        <v>Certain conditions originating in the perinatal period</v>
      </c>
    </row>
    <row r="18" spans="1:8">
      <c r="A18">
        <v>17</v>
      </c>
      <c r="B18" s="1" t="s">
        <v>18</v>
      </c>
      <c r="C18" s="2">
        <f>FIND("(",Table1[[#This Row],[desc]],1)</f>
        <v>70</v>
      </c>
      <c r="D18" s="2">
        <f>FIND("-",Table1[[#This Row],[desc]],Table1[[#This Row],[Column1]])</f>
        <v>74</v>
      </c>
      <c r="E18" s="2">
        <f>FIND(")",Table1[[#This Row],[desc]],Table1[[#This Row],[Column2]])</f>
        <v>78</v>
      </c>
      <c r="F18" s="2" t="str">
        <f>MID(Table1[[#This Row],[desc]],Table1[[#This Row],[Column1]]+1,Table1[[#This Row],[Column2]]-Table1[[#This Row],[Column1]]-1)</f>
        <v>Q00</v>
      </c>
      <c r="G18" s="2" t="str">
        <f>MID(Table1[[#This Row],[desc]],Table1[[#This Row],[Column2]]+1,Table1[[#This Row],[Column3]]-Table1[[#This Row],[Column2]]-1)</f>
        <v>Q99</v>
      </c>
      <c r="H18" s="2" t="str">
        <f>TRIM(LEFT(Table1[[#This Row],[desc]],Table1[[#This Row],[Column1]]-1))</f>
        <v>Congenital malformations, deformations and chromosomal abnormalities</v>
      </c>
    </row>
    <row r="19" spans="1:8">
      <c r="A19">
        <v>18</v>
      </c>
      <c r="B19" s="1" t="s">
        <v>19</v>
      </c>
      <c r="C19" s="2">
        <f>FIND("(",Table1[[#This Row],[desc]],1)</f>
        <v>90</v>
      </c>
      <c r="D19" s="2">
        <f>FIND("-",Table1[[#This Row],[desc]],Table1[[#This Row],[Column1]])</f>
        <v>94</v>
      </c>
      <c r="E19" s="2">
        <f>FIND(")",Table1[[#This Row],[desc]],Table1[[#This Row],[Column2]])</f>
        <v>98</v>
      </c>
      <c r="F19" s="2" t="str">
        <f>MID(Table1[[#This Row],[desc]],Table1[[#This Row],[Column1]]+1,Table1[[#This Row],[Column2]]-Table1[[#This Row],[Column1]]-1)</f>
        <v>R00</v>
      </c>
      <c r="G19" s="2" t="str">
        <f>MID(Table1[[#This Row],[desc]],Table1[[#This Row],[Column2]]+1,Table1[[#This Row],[Column3]]-Table1[[#This Row],[Column2]]-1)</f>
        <v>R99</v>
      </c>
      <c r="H19" s="2" t="str">
        <f>TRIM(LEFT(Table1[[#This Row],[desc]],Table1[[#This Row],[Column1]]-1))</f>
        <v>Symptoms, signs and abnormal clinical and laboratory findings, not elsewhere classified</v>
      </c>
    </row>
    <row r="20" spans="1:8">
      <c r="A20">
        <v>19</v>
      </c>
      <c r="B20" s="1" t="s">
        <v>20</v>
      </c>
      <c r="C20" s="2">
        <f>FIND("(",Table1[[#This Row],[desc]],1)</f>
        <v>69</v>
      </c>
      <c r="D20" s="2">
        <f>FIND("-",Table1[[#This Row],[desc]],Table1[[#This Row],[Column1]])</f>
        <v>73</v>
      </c>
      <c r="E20" s="2">
        <f>FIND(")",Table1[[#This Row],[desc]],Table1[[#This Row],[Column2]])</f>
        <v>77</v>
      </c>
      <c r="F20" s="2" t="str">
        <f>MID(Table1[[#This Row],[desc]],Table1[[#This Row],[Column1]]+1,Table1[[#This Row],[Column2]]-Table1[[#This Row],[Column1]]-1)</f>
        <v>S00</v>
      </c>
      <c r="G20" s="2" t="str">
        <f>MID(Table1[[#This Row],[desc]],Table1[[#This Row],[Column2]]+1,Table1[[#This Row],[Column3]]-Table1[[#This Row],[Column2]]-1)</f>
        <v>T88</v>
      </c>
      <c r="H20" s="2" t="str">
        <f>TRIM(LEFT(Table1[[#This Row],[desc]],Table1[[#This Row],[Column1]]-1))</f>
        <v>Injury, poisoning and certain other consequences of external causes</v>
      </c>
    </row>
    <row r="21" spans="1:8">
      <c r="A21">
        <v>20</v>
      </c>
      <c r="B21" s="1" t="s">
        <v>21</v>
      </c>
      <c r="C21" s="2">
        <f>FIND("(",Table1[[#This Row],[desc]],1)</f>
        <v>30</v>
      </c>
      <c r="D21" s="2">
        <f>FIND("-",Table1[[#This Row],[desc]],Table1[[#This Row],[Column1]])</f>
        <v>34</v>
      </c>
      <c r="E21" s="2">
        <f>FIND(")",Table1[[#This Row],[desc]],Table1[[#This Row],[Column2]])</f>
        <v>38</v>
      </c>
      <c r="F21" s="2" t="str">
        <f>MID(Table1[[#This Row],[desc]],Table1[[#This Row],[Column1]]+1,Table1[[#This Row],[Column2]]-Table1[[#This Row],[Column1]]-1)</f>
        <v>V00</v>
      </c>
      <c r="G21" s="2" t="str">
        <f>MID(Table1[[#This Row],[desc]],Table1[[#This Row],[Column2]]+1,Table1[[#This Row],[Column3]]-Table1[[#This Row],[Column2]]-1)</f>
        <v>Y99</v>
      </c>
      <c r="H21" s="2" t="str">
        <f>TRIM(LEFT(Table1[[#This Row],[desc]],Table1[[#This Row],[Column1]]-1))</f>
        <v>External causes of morbidity</v>
      </c>
    </row>
    <row r="22" spans="1:8">
      <c r="A22">
        <v>21</v>
      </c>
      <c r="B22" s="1" t="s">
        <v>22</v>
      </c>
      <c r="C22" s="2">
        <f>FIND("(",Table1[[#This Row],[desc]],1)</f>
        <v>68</v>
      </c>
      <c r="D22" s="2">
        <f>FIND("-",Table1[[#This Row],[desc]],Table1[[#This Row],[Column1]])</f>
        <v>72</v>
      </c>
      <c r="E22" s="2">
        <f>FIND(")",Table1[[#This Row],[desc]],Table1[[#This Row],[Column2]])</f>
        <v>76</v>
      </c>
      <c r="F22" s="2" t="str">
        <f>MID(Table1[[#This Row],[desc]],Table1[[#This Row],[Column1]]+1,Table1[[#This Row],[Column2]]-Table1[[#This Row],[Column1]]-1)</f>
        <v>Z00</v>
      </c>
      <c r="G22" s="2" t="str">
        <f>MID(Table1[[#This Row],[desc]],Table1[[#This Row],[Column2]]+1,Table1[[#This Row],[Column3]]-Table1[[#This Row],[Column2]]-1)</f>
        <v>Z99</v>
      </c>
      <c r="H22" s="2" t="str">
        <f>TRIM(LEFT(Table1[[#This Row],[desc]],Table1[[#This Row],[Column1]]-1))</f>
        <v>Factors influencing health status and contact with health services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john</cp:lastModifiedBy>
  <dcterms:created xsi:type="dcterms:W3CDTF">2015-02-22T19:40:32Z</dcterms:created>
  <dcterms:modified xsi:type="dcterms:W3CDTF">2015-02-22T23:44:10Z</dcterms:modified>
</cp:coreProperties>
</file>